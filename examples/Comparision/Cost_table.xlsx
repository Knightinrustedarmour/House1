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eshwa\House1\examples\Comparision\"/>
    </mc:Choice>
  </mc:AlternateContent>
  <xr:revisionPtr revIDLastSave="0" documentId="13_ncr:1_{B5E99AFE-8D7F-458E-921A-41282BCF6A5C}" xr6:coauthVersionLast="47" xr6:coauthVersionMax="47" xr10:uidLastSave="{00000000-0000-0000-0000-000000000000}"/>
  <bookViews>
    <workbookView xWindow="38280" yWindow="-120" windowWidth="19440" windowHeight="14880" xr2:uid="{00000000-000D-0000-FFFF-FFFF00000000}"/>
  </bookViews>
  <sheets>
    <sheet name="Orginal" sheetId="1" r:id="rId1"/>
    <sheet name="Additional PV" sheetId="2" r:id="rId2"/>
    <sheet name="Dynamic" sheetId="3" r:id="rId3"/>
    <sheet name="Load Shif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L3" i="1"/>
  <c r="L4" i="1"/>
  <c r="L5" i="1"/>
  <c r="L6" i="1"/>
  <c r="L7" i="1"/>
  <c r="L8" i="1"/>
  <c r="L9" i="1"/>
  <c r="L2" i="1"/>
  <c r="O9" i="4"/>
  <c r="O8" i="4"/>
  <c r="O7" i="4"/>
  <c r="O6" i="4"/>
  <c r="O5" i="4"/>
  <c r="O4" i="4"/>
  <c r="O3" i="4"/>
  <c r="O2" i="4"/>
  <c r="O9" i="2"/>
  <c r="O8" i="2"/>
  <c r="O7" i="2"/>
  <c r="O6" i="2"/>
  <c r="O5" i="2"/>
  <c r="O4" i="2"/>
  <c r="O3" i="2"/>
  <c r="O2" i="2"/>
  <c r="O2" i="3"/>
  <c r="O3" i="3"/>
  <c r="O4" i="3"/>
  <c r="O5" i="3"/>
  <c r="O6" i="3"/>
  <c r="O7" i="3"/>
  <c r="O8" i="3"/>
  <c r="O9" i="3"/>
  <c r="L3" i="4"/>
  <c r="L4" i="4"/>
  <c r="L5" i="4"/>
  <c r="L6" i="4"/>
  <c r="L7" i="4"/>
  <c r="L8" i="4"/>
  <c r="L9" i="4"/>
  <c r="L2" i="4"/>
  <c r="L2" i="3"/>
  <c r="J3" i="4"/>
  <c r="J4" i="4"/>
  <c r="J5" i="4"/>
  <c r="J6" i="4"/>
  <c r="J7" i="4"/>
  <c r="J8" i="4"/>
  <c r="J9" i="4"/>
  <c r="J2" i="4"/>
  <c r="J2" i="3"/>
  <c r="I3" i="4"/>
  <c r="I4" i="4"/>
  <c r="I5" i="4"/>
  <c r="I6" i="4"/>
  <c r="I7" i="4"/>
  <c r="I8" i="4"/>
  <c r="I9" i="4"/>
  <c r="I2" i="4"/>
  <c r="I2" i="3"/>
  <c r="H3" i="4"/>
  <c r="H4" i="4"/>
  <c r="H5" i="4"/>
  <c r="H6" i="4"/>
  <c r="H7" i="4"/>
  <c r="H8" i="4"/>
  <c r="H9" i="4"/>
  <c r="H2" i="4"/>
  <c r="H2" i="1"/>
  <c r="G9" i="4"/>
  <c r="G8" i="4"/>
  <c r="G7" i="4"/>
  <c r="G6" i="4"/>
  <c r="G5" i="4"/>
  <c r="G4" i="4"/>
  <c r="G3" i="4"/>
  <c r="G2" i="4"/>
  <c r="E3" i="4"/>
  <c r="E4" i="4"/>
  <c r="E5" i="4"/>
  <c r="E6" i="4"/>
  <c r="E7" i="4"/>
  <c r="E8" i="4"/>
  <c r="E9" i="4"/>
  <c r="E2" i="4"/>
  <c r="E2" i="1"/>
  <c r="C3" i="4"/>
  <c r="C4" i="4"/>
  <c r="C5" i="4"/>
  <c r="C6" i="4"/>
  <c r="C7" i="4"/>
  <c r="C8" i="4"/>
  <c r="C9" i="4"/>
  <c r="C2" i="4"/>
  <c r="C2" i="1"/>
  <c r="L3" i="2"/>
  <c r="L4" i="2"/>
  <c r="L5" i="2"/>
  <c r="L6" i="2"/>
  <c r="L7" i="2"/>
  <c r="L8" i="2"/>
  <c r="L9" i="2"/>
  <c r="L2" i="2"/>
  <c r="L3" i="3"/>
  <c r="L4" i="3"/>
  <c r="L5" i="3"/>
  <c r="L6" i="3"/>
  <c r="L7" i="3"/>
  <c r="L8" i="3"/>
  <c r="L9" i="3"/>
  <c r="I7" i="3"/>
  <c r="I8" i="3"/>
  <c r="I9" i="3"/>
  <c r="J2" i="2"/>
  <c r="H7" i="3"/>
  <c r="J7" i="3" s="1"/>
  <c r="H8" i="3"/>
  <c r="J8" i="3" s="1"/>
  <c r="G7" i="3"/>
  <c r="G8" i="3"/>
  <c r="G9" i="3"/>
  <c r="H9" i="3" s="1"/>
  <c r="J9" i="3" s="1"/>
  <c r="G2" i="3"/>
  <c r="H2" i="3" s="1"/>
  <c r="E3" i="3"/>
  <c r="G3" i="3" s="1"/>
  <c r="H3" i="3" s="1"/>
  <c r="J3" i="3" s="1"/>
  <c r="E4" i="3"/>
  <c r="G4" i="3" s="1"/>
  <c r="H4" i="3" s="1"/>
  <c r="J4" i="3" s="1"/>
  <c r="E5" i="3"/>
  <c r="G5" i="3" s="1"/>
  <c r="H5" i="3" s="1"/>
  <c r="J5" i="3" s="1"/>
  <c r="E6" i="3"/>
  <c r="G6" i="3" s="1"/>
  <c r="H6" i="3" s="1"/>
  <c r="J6" i="3" s="1"/>
  <c r="E7" i="3"/>
  <c r="E8" i="3"/>
  <c r="E9" i="3"/>
  <c r="E2" i="3"/>
  <c r="E2" i="2"/>
  <c r="J8" i="2"/>
  <c r="G9" i="2"/>
  <c r="H9" i="2" s="1"/>
  <c r="I9" i="2" s="1"/>
  <c r="I2" i="1"/>
  <c r="G2" i="1"/>
  <c r="J2" i="1" s="1"/>
  <c r="E3" i="2"/>
  <c r="J3" i="2" s="1"/>
  <c r="E4" i="2"/>
  <c r="G4" i="2" s="1"/>
  <c r="H4" i="2" s="1"/>
  <c r="I4" i="2" s="1"/>
  <c r="E5" i="2"/>
  <c r="J5" i="2" s="1"/>
  <c r="E6" i="2"/>
  <c r="J6" i="2" s="1"/>
  <c r="E7" i="2"/>
  <c r="J7" i="2" s="1"/>
  <c r="E8" i="2"/>
  <c r="E9" i="2"/>
  <c r="J9" i="2" s="1"/>
  <c r="C3" i="2"/>
  <c r="G3" i="2" s="1"/>
  <c r="H3" i="2" s="1"/>
  <c r="I3" i="2" s="1"/>
  <c r="C4" i="2"/>
  <c r="C5" i="2"/>
  <c r="G5" i="2" s="1"/>
  <c r="H5" i="2" s="1"/>
  <c r="I5" i="2" s="1"/>
  <c r="C6" i="2"/>
  <c r="G6" i="2" s="1"/>
  <c r="H6" i="2" s="1"/>
  <c r="I6" i="2" s="1"/>
  <c r="C7" i="2"/>
  <c r="G7" i="2" s="1"/>
  <c r="H7" i="2" s="1"/>
  <c r="I7" i="2" s="1"/>
  <c r="C8" i="2"/>
  <c r="G8" i="2" s="1"/>
  <c r="H8" i="2" s="1"/>
  <c r="I8" i="2" s="1"/>
  <c r="C9" i="2"/>
  <c r="C2" i="2"/>
  <c r="G2" i="2" s="1"/>
  <c r="H2" i="2" s="1"/>
  <c r="I2" i="2" s="1"/>
  <c r="I4" i="1"/>
  <c r="I5" i="1"/>
  <c r="I6" i="1"/>
  <c r="E3" i="1"/>
  <c r="I3" i="1" s="1"/>
  <c r="E4" i="1"/>
  <c r="E5" i="1"/>
  <c r="G5" i="1" s="1"/>
  <c r="H5" i="1" s="1"/>
  <c r="J5" i="1" s="1"/>
  <c r="E6" i="1"/>
  <c r="E7" i="1"/>
  <c r="I7" i="1" s="1"/>
  <c r="E8" i="1"/>
  <c r="I8" i="1" s="1"/>
  <c r="E9" i="1"/>
  <c r="I9" i="1" s="1"/>
  <c r="C3" i="1"/>
  <c r="G3" i="1" s="1"/>
  <c r="H3" i="1" s="1"/>
  <c r="J3" i="1" s="1"/>
  <c r="C4" i="1"/>
  <c r="G4" i="1" s="1"/>
  <c r="H4" i="1" s="1"/>
  <c r="J4" i="1" s="1"/>
  <c r="C5" i="1"/>
  <c r="C6" i="1"/>
  <c r="G6" i="1" s="1"/>
  <c r="H6" i="1" s="1"/>
  <c r="J6" i="1" s="1"/>
  <c r="C7" i="1"/>
  <c r="G7" i="1" s="1"/>
  <c r="H7" i="1" s="1"/>
  <c r="J7" i="1" s="1"/>
  <c r="C8" i="1"/>
  <c r="G8" i="1" s="1"/>
  <c r="H8" i="1" s="1"/>
  <c r="J8" i="1" s="1"/>
  <c r="C9" i="1"/>
  <c r="G9" i="1" s="1"/>
  <c r="H9" i="1" s="1"/>
  <c r="J9" i="1" s="1"/>
  <c r="J4" i="2" l="1"/>
  <c r="I6" i="3"/>
  <c r="I5" i="3"/>
  <c r="I4" i="3"/>
  <c r="I3" i="3"/>
</calcChain>
</file>

<file path=xl/sharedStrings.xml><?xml version="1.0" encoding="utf-8"?>
<sst xmlns="http://schemas.openxmlformats.org/spreadsheetml/2006/main" count="92" uniqueCount="25">
  <si>
    <t>Scenario</t>
  </si>
  <si>
    <t>Annual Grid Import</t>
  </si>
  <si>
    <t>Import Cost</t>
  </si>
  <si>
    <t>Annual Grid Export</t>
  </si>
  <si>
    <t>Export revenue</t>
  </si>
  <si>
    <t>Investment cost</t>
  </si>
  <si>
    <t>PV_NoBattery</t>
  </si>
  <si>
    <t>Net Expense</t>
  </si>
  <si>
    <t>Carbon Footprint (KgCO2eq)</t>
  </si>
  <si>
    <t>Battery Manufacturing CO2 (KG/KW capacity)</t>
  </si>
  <si>
    <t>Carbon Breakeven based on Difference from base scenario</t>
  </si>
  <si>
    <t>Carbon footprint Difference from Base scenario</t>
  </si>
  <si>
    <t>Cost Break even based on difference</t>
  </si>
  <si>
    <t>Cost Difference from base scenario</t>
  </si>
  <si>
    <t>Cost Breakeven based on revenue</t>
  </si>
  <si>
    <t>Carbon Difference from Base scenario</t>
  </si>
  <si>
    <t>Cost Break even based on Revenue</t>
  </si>
  <si>
    <t>PV Manufacturing CO2 (KG/KW capacity)</t>
  </si>
  <si>
    <t>5kW</t>
  </si>
  <si>
    <t>8kW</t>
  </si>
  <si>
    <t>12kW</t>
  </si>
  <si>
    <t>15kW</t>
  </si>
  <si>
    <t>20kW</t>
  </si>
  <si>
    <t>26kW</t>
  </si>
  <si>
    <t>50kW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</si>
</sst>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003F6B"/>
      <name val="Trebuchet MS"/>
    </font>
    <font>
      <sz val="11"/>
      <name val="Calibri"/>
      <family val="2"/>
      <scheme val="minor"/>
    </font>
    <font>
      <b/>
      <sz val="18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ABDA"/>
      </top>
      <bottom style="medium">
        <color rgb="FF00ABDA"/>
      </bottom>
      <diagonal/>
    </border>
    <border>
      <left/>
      <right/>
      <top style="medium">
        <color rgb="FF00ABDA"/>
      </top>
      <bottom/>
      <diagonal/>
    </border>
    <border>
      <left/>
      <right/>
      <top/>
      <bottom style="medium">
        <color rgb="FF00ABDA"/>
      </bottom>
      <diagonal/>
    </border>
    <border>
      <left/>
      <right/>
      <top/>
      <bottom style="medium">
        <color rgb="FF1E88E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2" fillId="2" borderId="1" xfId="0" applyFont="1" applyFill="1" applyBorder="1" applyAlignment="1">
      <alignment horizontal="center" vertical="top" wrapText="1" readingOrder="1"/>
    </xf>
    <xf numFmtId="0" fontId="2" fillId="2" borderId="2" xfId="0" applyFont="1" applyFill="1" applyBorder="1" applyAlignment="1">
      <alignment horizontal="center" vertical="top" wrapText="1" readingOrder="1"/>
    </xf>
    <xf numFmtId="0" fontId="2" fillId="2" borderId="0" xfId="0" applyFont="1" applyFill="1" applyAlignment="1">
      <alignment horizontal="center" vertical="top" wrapText="1" readingOrder="1"/>
    </xf>
    <xf numFmtId="0" fontId="2" fillId="2" borderId="3" xfId="0" applyFont="1" applyFill="1" applyBorder="1" applyAlignment="1">
      <alignment horizontal="center" vertical="top" wrapText="1" readingOrder="1"/>
    </xf>
    <xf numFmtId="2" fontId="0" fillId="0" borderId="0" xfId="0" applyNumberFormat="1"/>
    <xf numFmtId="2" fontId="0" fillId="0" borderId="0" xfId="0" applyNumberFormat="1" applyAlignment="1">
      <alignment horizontal="left" indent="1"/>
    </xf>
    <xf numFmtId="2" fontId="1" fillId="0" borderId="0" xfId="0" applyNumberFormat="1" applyFont="1"/>
    <xf numFmtId="2" fontId="3" fillId="0" borderId="0" xfId="0" applyNumberFormat="1" applyFont="1"/>
    <xf numFmtId="0" fontId="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topLeftCell="A2" workbookViewId="0">
      <selection activeCell="B17" sqref="B17"/>
    </sheetView>
  </sheetViews>
  <sheetFormatPr defaultRowHeight="14.25" x14ac:dyDescent="0.45"/>
  <cols>
    <col min="11" max="11" width="9.86328125" customWidth="1"/>
  </cols>
  <sheetData>
    <row r="1" spans="1:15" ht="85.5" x14ac:dyDescent="0.4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13</v>
      </c>
      <c r="I1" s="1" t="s">
        <v>14</v>
      </c>
      <c r="J1" s="1" t="s">
        <v>12</v>
      </c>
      <c r="K1" s="1" t="s">
        <v>8</v>
      </c>
      <c r="L1" s="1" t="s">
        <v>11</v>
      </c>
      <c r="M1" s="1" t="s">
        <v>9</v>
      </c>
      <c r="N1" s="1" t="s">
        <v>17</v>
      </c>
      <c r="O1" s="1" t="s">
        <v>10</v>
      </c>
    </row>
    <row r="2" spans="1:15" x14ac:dyDescent="0.45">
      <c r="A2" t="s">
        <v>6</v>
      </c>
      <c r="B2" s="7">
        <v>14569.3</v>
      </c>
      <c r="C2" s="7">
        <f>B2*0.35</f>
        <v>5099.2549999999992</v>
      </c>
      <c r="D2" s="7">
        <v>18476.27</v>
      </c>
      <c r="E2" s="7">
        <f>D2*0.08</f>
        <v>1478.1016</v>
      </c>
      <c r="F2" s="7">
        <v>0</v>
      </c>
      <c r="G2" s="9">
        <f>C2-E2</f>
        <v>3621.1533999999992</v>
      </c>
      <c r="H2" s="7">
        <f>3621.153-G2</f>
        <v>-3.9999999944484443E-4</v>
      </c>
      <c r="I2" s="7">
        <f>F2/E2</f>
        <v>0</v>
      </c>
      <c r="J2" s="7">
        <f t="shared" ref="J2:J9" si="0">F2/H2</f>
        <v>0</v>
      </c>
      <c r="K2" s="9">
        <v>6875.7879999999996</v>
      </c>
      <c r="L2" s="7">
        <f>6875.79-K2</f>
        <v>2.0000000004074536E-3</v>
      </c>
      <c r="M2" s="7">
        <v>0</v>
      </c>
      <c r="N2" s="7">
        <v>13.64</v>
      </c>
      <c r="O2" s="7">
        <v>0</v>
      </c>
    </row>
    <row r="3" spans="1:15" x14ac:dyDescent="0.45">
      <c r="A3" t="s">
        <v>18</v>
      </c>
      <c r="B3" s="7">
        <v>13145.04</v>
      </c>
      <c r="C3" s="7">
        <f t="shared" ref="C3:C9" si="1">B3*0.35</f>
        <v>4600.7640000000001</v>
      </c>
      <c r="D3" s="7">
        <v>16925.509999999998</v>
      </c>
      <c r="E3" s="7">
        <f t="shared" ref="E3:E9" si="2">D3*0.08</f>
        <v>1354.0408</v>
      </c>
      <c r="F3" s="7">
        <v>5982.13</v>
      </c>
      <c r="G3" s="7">
        <f t="shared" ref="G3:G9" si="3">C3-E3</f>
        <v>3246.7232000000004</v>
      </c>
      <c r="H3" s="7">
        <f t="shared" ref="H3:H9" si="4">3621.153-G3</f>
        <v>374.42979999999943</v>
      </c>
      <c r="I3" s="7">
        <f>F3/E3</f>
        <v>4.4179835644538921</v>
      </c>
      <c r="J3" s="7">
        <f t="shared" si="0"/>
        <v>15.976639679854566</v>
      </c>
      <c r="K3" s="7">
        <v>6232.0879999999997</v>
      </c>
      <c r="L3" s="7">
        <f t="shared" ref="L3:L9" si="5">6875.79-K3</f>
        <v>643.70200000000023</v>
      </c>
      <c r="M3" s="7">
        <v>546.6</v>
      </c>
      <c r="N3" s="7">
        <v>13.64</v>
      </c>
      <c r="O3" s="7">
        <f t="shared" ref="O3:O9" si="6">((M3+N3)/L3)</f>
        <v>0.87034062345619523</v>
      </c>
    </row>
    <row r="4" spans="1:15" x14ac:dyDescent="0.45">
      <c r="A4" t="s">
        <v>19</v>
      </c>
      <c r="B4" s="7">
        <v>12427.33</v>
      </c>
      <c r="C4" s="7">
        <f t="shared" si="1"/>
        <v>4349.5654999999997</v>
      </c>
      <c r="D4" s="7">
        <v>16142.26</v>
      </c>
      <c r="E4" s="7">
        <f t="shared" si="2"/>
        <v>1291.3808000000001</v>
      </c>
      <c r="F4" s="7">
        <v>8000.61</v>
      </c>
      <c r="G4" s="7">
        <f t="shared" si="3"/>
        <v>3058.1846999999998</v>
      </c>
      <c r="H4" s="7">
        <f t="shared" si="4"/>
        <v>562.9683</v>
      </c>
      <c r="I4" s="7">
        <f t="shared" ref="I4:I9" si="7">F4/E4</f>
        <v>6.1953917852890479</v>
      </c>
      <c r="J4" s="7">
        <f t="shared" si="0"/>
        <v>14.211475139896864</v>
      </c>
      <c r="K4" s="7">
        <v>5909.875</v>
      </c>
      <c r="L4" s="7">
        <f t="shared" si="5"/>
        <v>965.91499999999996</v>
      </c>
      <c r="M4" s="7">
        <v>874.56</v>
      </c>
      <c r="N4" s="7">
        <v>13.64</v>
      </c>
      <c r="O4" s="7">
        <f t="shared" si="6"/>
        <v>0.919542609856975</v>
      </c>
    </row>
    <row r="5" spans="1:15" x14ac:dyDescent="0.45">
      <c r="A5" t="s">
        <v>20</v>
      </c>
      <c r="B5" s="7">
        <v>11567.89</v>
      </c>
      <c r="C5" s="7">
        <f t="shared" si="1"/>
        <v>4048.7614999999996</v>
      </c>
      <c r="D5" s="7">
        <v>15204.36</v>
      </c>
      <c r="E5" s="7">
        <f t="shared" si="2"/>
        <v>1216.3488</v>
      </c>
      <c r="F5" s="7">
        <v>10691.91</v>
      </c>
      <c r="G5" s="7">
        <f t="shared" si="3"/>
        <v>2832.4126999999999</v>
      </c>
      <c r="H5" s="7">
        <f t="shared" si="4"/>
        <v>788.74029999999993</v>
      </c>
      <c r="I5" s="7">
        <f t="shared" si="7"/>
        <v>8.7901677545125221</v>
      </c>
      <c r="J5" s="7">
        <f t="shared" si="0"/>
        <v>13.555678592814392</v>
      </c>
      <c r="K5" s="7">
        <v>5526.7929999999997</v>
      </c>
      <c r="L5" s="7">
        <f t="shared" si="5"/>
        <v>1348.9970000000003</v>
      </c>
      <c r="M5" s="7">
        <v>1311.84</v>
      </c>
      <c r="N5" s="7">
        <v>13.64</v>
      </c>
      <c r="O5" s="7">
        <f t="shared" si="6"/>
        <v>0.98256704796230065</v>
      </c>
    </row>
    <row r="6" spans="1:15" x14ac:dyDescent="0.45">
      <c r="A6" t="s">
        <v>21</v>
      </c>
      <c r="B6" s="7">
        <v>11031.56</v>
      </c>
      <c r="C6" s="7">
        <f t="shared" si="1"/>
        <v>3861.0459999999994</v>
      </c>
      <c r="D6" s="7">
        <v>14618.41</v>
      </c>
      <c r="E6" s="7">
        <f t="shared" si="2"/>
        <v>1169.4728</v>
      </c>
      <c r="F6" s="7">
        <v>12710.39</v>
      </c>
      <c r="G6" s="7">
        <f t="shared" si="3"/>
        <v>2691.5731999999994</v>
      </c>
      <c r="H6" s="7">
        <f t="shared" si="4"/>
        <v>929.57980000000043</v>
      </c>
      <c r="I6" s="7">
        <f t="shared" si="7"/>
        <v>10.868478514421199</v>
      </c>
      <c r="J6" s="7">
        <f t="shared" si="0"/>
        <v>13.673263984436833</v>
      </c>
      <c r="K6" s="7">
        <v>5291.2619999999997</v>
      </c>
      <c r="L6" s="7">
        <f t="shared" si="5"/>
        <v>1584.5280000000002</v>
      </c>
      <c r="M6" s="7">
        <v>1639.8</v>
      </c>
      <c r="N6" s="7">
        <v>13.64</v>
      </c>
      <c r="O6" s="7">
        <f t="shared" si="6"/>
        <v>1.0434905536538324</v>
      </c>
    </row>
    <row r="7" spans="1:15" x14ac:dyDescent="0.45">
      <c r="A7" t="s">
        <v>22</v>
      </c>
      <c r="B7" s="7">
        <v>10321.950000000001</v>
      </c>
      <c r="C7" s="7">
        <f t="shared" si="1"/>
        <v>3612.6824999999999</v>
      </c>
      <c r="D7" s="7">
        <v>13841.47</v>
      </c>
      <c r="E7" s="7">
        <f t="shared" si="2"/>
        <v>1107.3176000000001</v>
      </c>
      <c r="F7" s="7">
        <v>16074.52</v>
      </c>
      <c r="G7" s="7">
        <f t="shared" si="3"/>
        <v>2505.3648999999996</v>
      </c>
      <c r="H7" s="7">
        <f t="shared" si="4"/>
        <v>1115.7881000000002</v>
      </c>
      <c r="I7" s="7">
        <f t="shared" si="7"/>
        <v>14.516630097814755</v>
      </c>
      <c r="J7" s="7">
        <f t="shared" si="0"/>
        <v>14.406427170176844</v>
      </c>
      <c r="K7" s="7">
        <v>4984.2879999999996</v>
      </c>
      <c r="L7" s="7">
        <f t="shared" si="5"/>
        <v>1891.5020000000004</v>
      </c>
      <c r="M7" s="7">
        <v>2186.4</v>
      </c>
      <c r="N7" s="7">
        <v>13.64</v>
      </c>
      <c r="O7" s="7">
        <f t="shared" si="6"/>
        <v>1.1631179877155824</v>
      </c>
    </row>
    <row r="8" spans="1:15" x14ac:dyDescent="0.45">
      <c r="A8" t="s">
        <v>23</v>
      </c>
      <c r="B8" s="7">
        <v>9714.2800000000007</v>
      </c>
      <c r="C8" s="7">
        <f t="shared" si="1"/>
        <v>3399.998</v>
      </c>
      <c r="D8" s="7">
        <v>13174.98</v>
      </c>
      <c r="E8" s="7">
        <f t="shared" si="2"/>
        <v>1053.9983999999999</v>
      </c>
      <c r="F8" s="7">
        <v>20111.48</v>
      </c>
      <c r="G8" s="7">
        <f t="shared" si="3"/>
        <v>2345.9996000000001</v>
      </c>
      <c r="H8" s="7">
        <f t="shared" si="4"/>
        <v>1275.1533999999997</v>
      </c>
      <c r="I8" s="7">
        <f t="shared" si="7"/>
        <v>19.081129534921494</v>
      </c>
      <c r="J8" s="7">
        <f t="shared" si="0"/>
        <v>15.771812238433434</v>
      </c>
      <c r="K8" s="7">
        <v>4730.7749999999996</v>
      </c>
      <c r="L8" s="7">
        <f t="shared" si="5"/>
        <v>2145.0150000000003</v>
      </c>
      <c r="M8" s="7">
        <v>2842.32</v>
      </c>
      <c r="N8" s="7">
        <v>13.64</v>
      </c>
      <c r="O8" s="7">
        <f t="shared" si="6"/>
        <v>1.3314405726766478</v>
      </c>
    </row>
    <row r="9" spans="1:15" x14ac:dyDescent="0.45">
      <c r="A9" t="s">
        <v>24</v>
      </c>
      <c r="B9" s="7">
        <v>8545.85</v>
      </c>
      <c r="C9" s="7">
        <f t="shared" si="1"/>
        <v>2991.0475000000001</v>
      </c>
      <c r="D9" s="7">
        <v>11874.43</v>
      </c>
      <c r="E9" s="7">
        <f t="shared" si="2"/>
        <v>949.95440000000008</v>
      </c>
      <c r="F9" s="7">
        <v>36259.300000000003</v>
      </c>
      <c r="G9" s="7">
        <f t="shared" si="3"/>
        <v>2041.0931</v>
      </c>
      <c r="H9" s="7">
        <f t="shared" si="4"/>
        <v>1580.0598999999997</v>
      </c>
      <c r="I9" s="7">
        <f t="shared" si="7"/>
        <v>38.169516347310989</v>
      </c>
      <c r="J9" s="7">
        <f t="shared" si="0"/>
        <v>22.948054057950593</v>
      </c>
      <c r="K9" s="7">
        <v>4311.241</v>
      </c>
      <c r="L9" s="7">
        <f t="shared" si="5"/>
        <v>2564.549</v>
      </c>
      <c r="M9" s="7">
        <v>5466</v>
      </c>
      <c r="N9" s="7">
        <v>13.64</v>
      </c>
      <c r="O9" s="7">
        <f t="shared" si="6"/>
        <v>2.1366875813252157</v>
      </c>
    </row>
    <row r="12" spans="1:15" ht="14.65" thickBot="1" x14ac:dyDescent="0.5"/>
    <row r="13" spans="1:15" ht="18.399999999999999" thickBot="1" x14ac:dyDescent="0.5">
      <c r="G13" s="2"/>
      <c r="H13" s="3"/>
      <c r="I13" s="2"/>
    </row>
    <row r="14" spans="1:15" ht="18" x14ac:dyDescent="0.45">
      <c r="G14" s="2"/>
      <c r="H14" s="4"/>
      <c r="I14" s="2"/>
    </row>
    <row r="15" spans="1:15" ht="18" x14ac:dyDescent="0.45">
      <c r="G15" s="2"/>
      <c r="H15" s="5"/>
      <c r="I15" s="2"/>
    </row>
    <row r="16" spans="1:15" ht="18" x14ac:dyDescent="0.45">
      <c r="G16" s="2"/>
      <c r="H16" s="5"/>
      <c r="I16" s="2"/>
    </row>
    <row r="17" spans="2:9" ht="22.9" thickBot="1" x14ac:dyDescent="0.5">
      <c r="B17" s="11"/>
      <c r="G17" s="2"/>
      <c r="H17" s="5"/>
      <c r="I17" s="2"/>
    </row>
    <row r="18" spans="2:9" ht="18" x14ac:dyDescent="0.45">
      <c r="G18" s="2"/>
      <c r="H18" s="5"/>
      <c r="I18" s="2"/>
    </row>
    <row r="19" spans="2:9" ht="18" x14ac:dyDescent="0.45">
      <c r="G19" s="2"/>
      <c r="H19" s="5"/>
      <c r="I19" s="2"/>
    </row>
    <row r="20" spans="2:9" ht="18.399999999999999" thickBot="1" x14ac:dyDescent="0.5">
      <c r="G20" s="2"/>
      <c r="H20" s="6"/>
      <c r="I2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9A5B5-943A-410E-919F-5156F70A4188}">
  <dimension ref="A1:O9"/>
  <sheetViews>
    <sheetView workbookViewId="0">
      <selection activeCell="A3" sqref="A3:A9"/>
    </sheetView>
  </sheetViews>
  <sheetFormatPr defaultRowHeight="14.25" x14ac:dyDescent="0.45"/>
  <cols>
    <col min="6" max="6" width="9.73046875" customWidth="1"/>
    <col min="14" max="14" width="13.19921875" bestFit="1" customWidth="1"/>
  </cols>
  <sheetData>
    <row r="1" spans="1:15" ht="85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13</v>
      </c>
      <c r="I1" s="1" t="s">
        <v>12</v>
      </c>
      <c r="J1" s="1" t="s">
        <v>16</v>
      </c>
      <c r="K1" s="1" t="s">
        <v>8</v>
      </c>
      <c r="L1" s="1" t="s">
        <v>15</v>
      </c>
      <c r="M1" s="1" t="s">
        <v>9</v>
      </c>
      <c r="N1" s="1" t="s">
        <v>17</v>
      </c>
      <c r="O1" s="1" t="s">
        <v>10</v>
      </c>
    </row>
    <row r="2" spans="1:15" x14ac:dyDescent="0.45">
      <c r="A2" t="s">
        <v>6</v>
      </c>
      <c r="B2" s="7">
        <v>14510.51</v>
      </c>
      <c r="C2" s="7">
        <f>B2*0.35</f>
        <v>5078.6785</v>
      </c>
      <c r="D2" s="7">
        <v>21465.37</v>
      </c>
      <c r="E2" s="7">
        <f>D2*0.08</f>
        <v>1717.2295999999999</v>
      </c>
      <c r="F2" s="7">
        <v>1954.34</v>
      </c>
      <c r="G2" s="7">
        <f>C2-E2</f>
        <v>3361.4489000000003</v>
      </c>
      <c r="H2" s="7">
        <f>3621.153-G2</f>
        <v>259.70409999999947</v>
      </c>
      <c r="I2" s="7">
        <f>F2/H2</f>
        <v>7.5252566286015661</v>
      </c>
      <c r="J2" s="8">
        <f t="shared" ref="J2:J9" si="0">F2/E2</f>
        <v>1.1380772844819353</v>
      </c>
      <c r="K2" s="7">
        <v>6850.442</v>
      </c>
      <c r="L2" s="7">
        <f>6875.78-K2</f>
        <v>25.337999999999738</v>
      </c>
      <c r="M2" s="7">
        <v>0</v>
      </c>
      <c r="N2" s="7">
        <v>15.45</v>
      </c>
      <c r="O2" s="7">
        <f>(('Load Shift'!M2+N2)/'Load Shift'!L2)</f>
        <v>0.13973301497720947</v>
      </c>
    </row>
    <row r="3" spans="1:15" x14ac:dyDescent="0.45">
      <c r="A3" t="s">
        <v>18</v>
      </c>
      <c r="B3" s="7">
        <v>13067.79</v>
      </c>
      <c r="C3" s="7">
        <f t="shared" ref="C3:C9" si="1">B3*0.35</f>
        <v>4573.7264999999998</v>
      </c>
      <c r="D3" s="7">
        <v>19894.23</v>
      </c>
      <c r="E3" s="7">
        <f t="shared" ref="E3:E9" si="2">D3*0.08</f>
        <v>1591.5383999999999</v>
      </c>
      <c r="F3" s="7">
        <v>7943.02</v>
      </c>
      <c r="G3" s="7">
        <f t="shared" ref="G3:G9" si="3">C3-E3</f>
        <v>2982.1880999999998</v>
      </c>
      <c r="H3" s="7">
        <f t="shared" ref="H3:H9" si="4">3621.153-G3</f>
        <v>638.96489999999994</v>
      </c>
      <c r="I3" s="7">
        <f t="shared" ref="I3:I9" si="5">F3/H3</f>
        <v>12.431074069952826</v>
      </c>
      <c r="J3" s="8">
        <f t="shared" si="0"/>
        <v>4.990781246622765</v>
      </c>
      <c r="K3" s="7">
        <v>6198.1710000000003</v>
      </c>
      <c r="L3" s="7">
        <f t="shared" ref="L3:L9" si="6">6875.78-K3</f>
        <v>677.60899999999947</v>
      </c>
      <c r="M3" s="7">
        <v>546.6</v>
      </c>
      <c r="N3" s="7">
        <v>15.45</v>
      </c>
      <c r="O3" s="7">
        <f>(('Load Shift'!M3+N3)/'Load Shift'!L3)</f>
        <v>0.73887254399318547</v>
      </c>
    </row>
    <row r="4" spans="1:15" x14ac:dyDescent="0.45">
      <c r="A4" t="s">
        <v>19</v>
      </c>
      <c r="B4" s="7">
        <v>12326.66</v>
      </c>
      <c r="C4" s="7">
        <f t="shared" si="1"/>
        <v>4314.3309999999992</v>
      </c>
      <c r="D4" s="7">
        <v>19085.95</v>
      </c>
      <c r="E4" s="7">
        <f t="shared" si="2"/>
        <v>1526.8760000000002</v>
      </c>
      <c r="F4" s="7">
        <v>9965.42</v>
      </c>
      <c r="G4" s="7">
        <f t="shared" si="3"/>
        <v>2787.454999999999</v>
      </c>
      <c r="H4" s="7">
        <f t="shared" si="4"/>
        <v>833.69800000000077</v>
      </c>
      <c r="I4" s="7">
        <f t="shared" si="5"/>
        <v>11.953273247626827</v>
      </c>
      <c r="J4" s="8">
        <f t="shared" si="0"/>
        <v>6.5266727619007687</v>
      </c>
      <c r="K4" s="7">
        <v>5865.4489999999996</v>
      </c>
      <c r="L4" s="7">
        <f t="shared" si="6"/>
        <v>1010.3310000000001</v>
      </c>
      <c r="M4" s="7">
        <v>874.56</v>
      </c>
      <c r="N4" s="7">
        <v>15.45</v>
      </c>
      <c r="O4" s="7">
        <f>(('Load Shift'!M4+N4)/'Load Shift'!L4)</f>
        <v>0.82227812829427238</v>
      </c>
    </row>
    <row r="5" spans="1:15" x14ac:dyDescent="0.45">
      <c r="A5" t="s">
        <v>20</v>
      </c>
      <c r="B5" s="7">
        <v>11441.37</v>
      </c>
      <c r="C5" s="7">
        <f t="shared" si="1"/>
        <v>4004.4794999999999</v>
      </c>
      <c r="D5" s="7">
        <v>18119.79</v>
      </c>
      <c r="E5" s="7">
        <f t="shared" si="2"/>
        <v>1449.5832</v>
      </c>
      <c r="F5" s="7">
        <v>12661.96</v>
      </c>
      <c r="G5" s="7">
        <f t="shared" si="3"/>
        <v>2554.8962999999999</v>
      </c>
      <c r="H5" s="7">
        <f t="shared" si="4"/>
        <v>1066.2566999999999</v>
      </c>
      <c r="I5" s="7">
        <f t="shared" si="5"/>
        <v>11.875151640313257</v>
      </c>
      <c r="J5" s="8">
        <f t="shared" si="0"/>
        <v>8.7348970379899544</v>
      </c>
      <c r="K5" s="7">
        <v>5470.2759999999998</v>
      </c>
      <c r="L5" s="7">
        <f t="shared" si="6"/>
        <v>1405.5039999999999</v>
      </c>
      <c r="M5" s="7">
        <v>1311.84</v>
      </c>
      <c r="N5" s="7">
        <v>15.45</v>
      </c>
      <c r="O5" s="7">
        <f>(('Load Shift'!M5+N5)/'Load Shift'!L5)</f>
        <v>0.90758036690510258</v>
      </c>
    </row>
    <row r="6" spans="1:15" x14ac:dyDescent="0.45">
      <c r="A6" t="s">
        <v>21</v>
      </c>
      <c r="B6" s="7">
        <v>10878.35</v>
      </c>
      <c r="C6" s="7">
        <f t="shared" si="1"/>
        <v>3807.4224999999997</v>
      </c>
      <c r="D6" s="7">
        <v>17504.63</v>
      </c>
      <c r="E6" s="7">
        <f t="shared" si="2"/>
        <v>1400.3704</v>
      </c>
      <c r="F6" s="7">
        <v>14684.36</v>
      </c>
      <c r="G6" s="7">
        <f t="shared" si="3"/>
        <v>2407.0520999999999</v>
      </c>
      <c r="H6" s="7">
        <f t="shared" si="4"/>
        <v>1214.1008999999999</v>
      </c>
      <c r="I6" s="7">
        <f t="shared" si="5"/>
        <v>12.094843188074403</v>
      </c>
      <c r="J6" s="8">
        <f t="shared" si="0"/>
        <v>10.486054261072642</v>
      </c>
      <c r="K6" s="7">
        <v>5221.4470000000001</v>
      </c>
      <c r="L6" s="7">
        <f t="shared" si="6"/>
        <v>1654.3329999999996</v>
      </c>
      <c r="M6" s="7">
        <v>1639.8</v>
      </c>
      <c r="N6" s="7">
        <v>15.45</v>
      </c>
      <c r="O6" s="7">
        <f>(('Load Shift'!M6+N6)/'Load Shift'!L6)</f>
        <v>0.97623823456729708</v>
      </c>
    </row>
    <row r="7" spans="1:15" x14ac:dyDescent="0.45">
      <c r="A7" t="s">
        <v>22</v>
      </c>
      <c r="B7" s="7">
        <v>10130.120000000001</v>
      </c>
      <c r="C7" s="7">
        <f t="shared" si="1"/>
        <v>3545.5419999999999</v>
      </c>
      <c r="D7" s="7">
        <v>16686.88</v>
      </c>
      <c r="E7" s="7">
        <f t="shared" si="2"/>
        <v>1334.9504000000002</v>
      </c>
      <c r="F7" s="7">
        <v>18055.04</v>
      </c>
      <c r="G7" s="7">
        <f t="shared" si="3"/>
        <v>2210.5915999999997</v>
      </c>
      <c r="H7" s="7">
        <f t="shared" si="4"/>
        <v>1410.5614</v>
      </c>
      <c r="I7" s="7">
        <f t="shared" si="5"/>
        <v>12.799896551826812</v>
      </c>
      <c r="J7" s="8">
        <f t="shared" si="0"/>
        <v>13.524877029139059</v>
      </c>
      <c r="K7" s="7">
        <v>4896.28</v>
      </c>
      <c r="L7" s="7">
        <f t="shared" si="6"/>
        <v>1979.5</v>
      </c>
      <c r="M7" s="7">
        <v>2186.4</v>
      </c>
      <c r="N7" s="7">
        <v>15.45</v>
      </c>
      <c r="O7" s="7">
        <f>(('Load Shift'!M7+N7)/'Load Shift'!L7)</f>
        <v>1.1028069400431839</v>
      </c>
    </row>
    <row r="8" spans="1:15" x14ac:dyDescent="0.45">
      <c r="A8" t="s">
        <v>23</v>
      </c>
      <c r="B8" s="7">
        <v>9478.2000000000007</v>
      </c>
      <c r="C8" s="7">
        <f t="shared" si="1"/>
        <v>3317.37</v>
      </c>
      <c r="D8" s="7">
        <v>15972.96</v>
      </c>
      <c r="E8" s="7">
        <f t="shared" si="2"/>
        <v>1277.8368</v>
      </c>
      <c r="F8" s="7">
        <v>22099.85</v>
      </c>
      <c r="G8" s="7">
        <f t="shared" si="3"/>
        <v>2039.5331999999999</v>
      </c>
      <c r="H8" s="7">
        <f t="shared" si="4"/>
        <v>1581.6197999999999</v>
      </c>
      <c r="I8" s="7">
        <f t="shared" si="5"/>
        <v>13.972921937370788</v>
      </c>
      <c r="J8" s="8">
        <f t="shared" si="0"/>
        <v>17.294735916198373</v>
      </c>
      <c r="K8" s="7">
        <v>4621.9260000000004</v>
      </c>
      <c r="L8" s="7">
        <f t="shared" si="6"/>
        <v>2253.8539999999994</v>
      </c>
      <c r="M8" s="7">
        <v>2842.32</v>
      </c>
      <c r="N8" s="7">
        <v>15.45</v>
      </c>
      <c r="O8" s="7">
        <f>(('Load Shift'!M8+N8)/'Load Shift'!L8)</f>
        <v>1.2750274389427751</v>
      </c>
    </row>
    <row r="9" spans="1:15" x14ac:dyDescent="0.45">
      <c r="A9" t="s">
        <v>24</v>
      </c>
      <c r="B9" s="7">
        <v>8196.0499999999993</v>
      </c>
      <c r="C9" s="7">
        <f t="shared" si="1"/>
        <v>2868.6174999999994</v>
      </c>
      <c r="D9" s="7">
        <v>14556.53</v>
      </c>
      <c r="E9" s="7">
        <f t="shared" si="2"/>
        <v>1164.5224000000001</v>
      </c>
      <c r="F9" s="7">
        <v>38279.089999999997</v>
      </c>
      <c r="G9" s="7">
        <f t="shared" si="3"/>
        <v>1704.0950999999993</v>
      </c>
      <c r="H9" s="7">
        <f t="shared" si="4"/>
        <v>1917.0579000000005</v>
      </c>
      <c r="I9" s="7">
        <f t="shared" si="5"/>
        <v>19.967623304439574</v>
      </c>
      <c r="J9" s="8">
        <f t="shared" si="0"/>
        <v>32.871063708177701</v>
      </c>
      <c r="K9" s="7">
        <v>4148.83</v>
      </c>
      <c r="L9" s="7">
        <f t="shared" si="6"/>
        <v>2726.95</v>
      </c>
      <c r="M9" s="7">
        <v>5466</v>
      </c>
      <c r="N9" s="7">
        <v>15.45</v>
      </c>
      <c r="O9" s="7">
        <f>(('Load Shift'!M9+N9)/'Load Shift'!L9)</f>
        <v>2.077454139445194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07F3-7A81-4509-BAF2-807182DE6665}">
  <dimension ref="A1:O9"/>
  <sheetViews>
    <sheetView zoomScaleNormal="100" workbookViewId="0">
      <selection activeCell="A3" sqref="A3:A9"/>
    </sheetView>
  </sheetViews>
  <sheetFormatPr defaultRowHeight="14.25" x14ac:dyDescent="0.45"/>
  <cols>
    <col min="6" max="6" width="10.6640625" customWidth="1"/>
  </cols>
  <sheetData>
    <row r="1" spans="1:15" ht="85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13</v>
      </c>
      <c r="I1" s="1" t="s">
        <v>14</v>
      </c>
      <c r="J1" s="1" t="s">
        <v>12</v>
      </c>
      <c r="K1" s="1" t="s">
        <v>8</v>
      </c>
      <c r="L1" s="1" t="s">
        <v>15</v>
      </c>
      <c r="M1" s="1" t="s">
        <v>9</v>
      </c>
      <c r="N1" s="1" t="s">
        <v>17</v>
      </c>
      <c r="O1" s="1" t="s">
        <v>10</v>
      </c>
    </row>
    <row r="2" spans="1:15" x14ac:dyDescent="0.45">
      <c r="A2" t="s">
        <v>6</v>
      </c>
      <c r="B2">
        <v>15134.16</v>
      </c>
      <c r="C2" s="7">
        <v>2785.9288646210498</v>
      </c>
      <c r="D2">
        <v>19041.13</v>
      </c>
      <c r="E2">
        <f>D2*0.08</f>
        <v>1523.2904000000001</v>
      </c>
      <c r="F2">
        <v>0</v>
      </c>
      <c r="G2" s="7">
        <f>C2-E2</f>
        <v>1262.6384646210497</v>
      </c>
      <c r="H2" s="7">
        <f>3621.153-G2</f>
        <v>2358.5145353789503</v>
      </c>
      <c r="I2" s="7">
        <f>F2/E2</f>
        <v>0</v>
      </c>
      <c r="J2" s="7">
        <f t="shared" ref="J2:J9" si="0">F2/H2</f>
        <v>0</v>
      </c>
      <c r="K2" s="7">
        <v>7141.8379999999997</v>
      </c>
      <c r="L2" s="7">
        <f>6875.78-K2</f>
        <v>-266.05799999999999</v>
      </c>
      <c r="M2">
        <v>0</v>
      </c>
      <c r="N2">
        <v>13.64</v>
      </c>
      <c r="O2" s="7">
        <f>(('Load Shift'!M2+N2)/'Load Shift'!L2)</f>
        <v>0.1233629983358665</v>
      </c>
    </row>
    <row r="3" spans="1:15" x14ac:dyDescent="0.45">
      <c r="A3" t="s">
        <v>18</v>
      </c>
      <c r="B3">
        <v>14176.42</v>
      </c>
      <c r="C3" s="7">
        <v>2447.08030872378</v>
      </c>
      <c r="D3">
        <v>17888.509999999998</v>
      </c>
      <c r="E3">
        <f t="shared" ref="E3:E9" si="1">D3*0.08</f>
        <v>1431.0808</v>
      </c>
      <c r="F3">
        <v>5982.13</v>
      </c>
      <c r="G3" s="7">
        <f t="shared" ref="G3:G9" si="2">C3-E3</f>
        <v>1015.9995087237801</v>
      </c>
      <c r="H3" s="7">
        <f t="shared" ref="H3:H9" si="3">3621.153-G3</f>
        <v>2605.1534912762199</v>
      </c>
      <c r="I3" s="7">
        <f t="shared" ref="I3:I9" si="4">F3/E3</f>
        <v>4.1801483186693584</v>
      </c>
      <c r="J3" s="7">
        <f t="shared" si="0"/>
        <v>2.2962677707982024</v>
      </c>
      <c r="K3" s="7">
        <v>6717.9930000000004</v>
      </c>
      <c r="L3" s="7">
        <f t="shared" ref="L3:L9" si="5">6875.78-K3</f>
        <v>157.78699999999935</v>
      </c>
      <c r="M3">
        <v>546.6</v>
      </c>
      <c r="N3">
        <v>13.64</v>
      </c>
      <c r="O3" s="7">
        <f>(('Load Shift'!M3+N3)/'Load Shift'!L3)</f>
        <v>0.73649311279555585</v>
      </c>
    </row>
    <row r="4" spans="1:15" x14ac:dyDescent="0.45">
      <c r="A4" t="s">
        <v>19</v>
      </c>
      <c r="B4">
        <v>13709.11</v>
      </c>
      <c r="C4" s="7">
        <v>2285.0734993860401</v>
      </c>
      <c r="D4">
        <v>17325.310000000001</v>
      </c>
      <c r="E4">
        <f t="shared" si="1"/>
        <v>1386.0248000000001</v>
      </c>
      <c r="F4">
        <v>8000.61</v>
      </c>
      <c r="G4" s="7">
        <f t="shared" si="2"/>
        <v>899.04869938603997</v>
      </c>
      <c r="H4" s="7">
        <f t="shared" si="3"/>
        <v>2722.1043006139598</v>
      </c>
      <c r="I4" s="7">
        <f t="shared" si="4"/>
        <v>5.7723426016619603</v>
      </c>
      <c r="J4" s="7">
        <f t="shared" si="0"/>
        <v>2.9391269093529937</v>
      </c>
      <c r="K4" s="7">
        <v>6514.2380000000003</v>
      </c>
      <c r="L4" s="7">
        <f t="shared" si="5"/>
        <v>361.54199999999946</v>
      </c>
      <c r="M4">
        <v>874.56</v>
      </c>
      <c r="N4">
        <v>13.64</v>
      </c>
      <c r="O4" s="7">
        <f>(('Load Shift'!M4+N4)/'Load Shift'!L4)</f>
        <v>0.82060587358678294</v>
      </c>
    </row>
    <row r="5" spans="1:15" x14ac:dyDescent="0.45">
      <c r="A5" t="s">
        <v>20</v>
      </c>
      <c r="B5">
        <v>13160.11</v>
      </c>
      <c r="C5" s="7">
        <v>2100.3189592529802</v>
      </c>
      <c r="D5">
        <v>16661.46</v>
      </c>
      <c r="E5">
        <f t="shared" si="1"/>
        <v>1332.9168</v>
      </c>
      <c r="F5">
        <v>10691.91</v>
      </c>
      <c r="G5" s="7">
        <f t="shared" si="2"/>
        <v>767.40215925298025</v>
      </c>
      <c r="H5" s="7">
        <f t="shared" si="3"/>
        <v>2853.7508407470195</v>
      </c>
      <c r="I5" s="7">
        <f t="shared" si="4"/>
        <v>8.0214383973553343</v>
      </c>
      <c r="J5" s="7">
        <f t="shared" si="0"/>
        <v>3.7466165046143987</v>
      </c>
      <c r="K5" s="7">
        <v>6277.46</v>
      </c>
      <c r="L5" s="7">
        <f t="shared" si="5"/>
        <v>598.31999999999971</v>
      </c>
      <c r="M5">
        <v>1311.84</v>
      </c>
      <c r="N5">
        <v>13.64</v>
      </c>
      <c r="O5" s="7">
        <f>(('Load Shift'!M5+N5)/'Load Shift'!L5)</f>
        <v>0.90634271690841894</v>
      </c>
    </row>
    <row r="6" spans="1:15" x14ac:dyDescent="0.45">
      <c r="A6" t="s">
        <v>21</v>
      </c>
      <c r="B6">
        <v>12826.41</v>
      </c>
      <c r="C6" s="7">
        <v>1984.7877860645599</v>
      </c>
      <c r="D6">
        <v>16252.15</v>
      </c>
      <c r="E6">
        <f t="shared" si="1"/>
        <v>1300.172</v>
      </c>
      <c r="F6">
        <v>12710.39</v>
      </c>
      <c r="G6" s="7">
        <f t="shared" si="2"/>
        <v>684.61578606455987</v>
      </c>
      <c r="H6" s="7">
        <f t="shared" si="3"/>
        <v>2936.5372139354399</v>
      </c>
      <c r="I6" s="7">
        <f t="shared" si="4"/>
        <v>9.7759296462314218</v>
      </c>
      <c r="J6" s="7">
        <f t="shared" si="0"/>
        <v>4.3283599266790826</v>
      </c>
      <c r="K6" s="7">
        <v>6136.6360000000004</v>
      </c>
      <c r="L6" s="7">
        <f t="shared" si="5"/>
        <v>739.14399999999932</v>
      </c>
      <c r="M6">
        <v>1639.8</v>
      </c>
      <c r="N6">
        <v>13.64</v>
      </c>
      <c r="O6" s="7">
        <f>(('Load Shift'!M6+N6)/'Load Shift'!L6)</f>
        <v>0.97517072742060207</v>
      </c>
    </row>
    <row r="7" spans="1:15" x14ac:dyDescent="0.45">
      <c r="A7" t="s">
        <v>22</v>
      </c>
      <c r="B7">
        <v>12400.98</v>
      </c>
      <c r="C7" s="7">
        <v>1828.2271250876099</v>
      </c>
      <c r="D7">
        <v>15717.98</v>
      </c>
      <c r="E7">
        <f t="shared" si="1"/>
        <v>1257.4384</v>
      </c>
      <c r="F7">
        <v>16074.52</v>
      </c>
      <c r="G7" s="7">
        <f t="shared" si="2"/>
        <v>570.78872508760992</v>
      </c>
      <c r="H7" s="7">
        <f t="shared" si="3"/>
        <v>3050.3642749123901</v>
      </c>
      <c r="I7" s="7">
        <f t="shared" si="4"/>
        <v>12.783544704853933</v>
      </c>
      <c r="J7" s="7">
        <f t="shared" si="0"/>
        <v>5.2697050421827667</v>
      </c>
      <c r="K7" s="7">
        <v>5963.51</v>
      </c>
      <c r="L7" s="7">
        <f t="shared" si="5"/>
        <v>912.26999999999953</v>
      </c>
      <c r="M7">
        <v>2186.4</v>
      </c>
      <c r="N7">
        <v>13.64</v>
      </c>
      <c r="O7" s="7">
        <f>(('Load Shift'!M7+N7)/'Load Shift'!L7)</f>
        <v>1.1019003930206901</v>
      </c>
    </row>
    <row r="8" spans="1:15" x14ac:dyDescent="0.45">
      <c r="A8" t="s">
        <v>23</v>
      </c>
      <c r="B8">
        <v>12117.4</v>
      </c>
      <c r="C8" s="7">
        <v>1694.2823168545899</v>
      </c>
      <c r="D8">
        <v>15328.01</v>
      </c>
      <c r="E8">
        <f t="shared" si="1"/>
        <v>1226.2408</v>
      </c>
      <c r="F8">
        <v>20111.48</v>
      </c>
      <c r="G8" s="7">
        <f t="shared" si="2"/>
        <v>468.04151685458987</v>
      </c>
      <c r="H8" s="7">
        <f t="shared" si="3"/>
        <v>3153.1114831454097</v>
      </c>
      <c r="I8" s="7">
        <f t="shared" si="4"/>
        <v>16.400922233218793</v>
      </c>
      <c r="J8" s="7">
        <f t="shared" si="0"/>
        <v>6.378296519962448</v>
      </c>
      <c r="K8" s="7">
        <v>5862.643</v>
      </c>
      <c r="L8" s="7">
        <f t="shared" si="5"/>
        <v>1013.1369999999997</v>
      </c>
      <c r="M8">
        <v>2842.32</v>
      </c>
      <c r="N8">
        <v>13.64</v>
      </c>
      <c r="O8" s="7">
        <f>(('Load Shift'!M8+N8)/'Load Shift'!L8)</f>
        <v>1.2742198863180061</v>
      </c>
    </row>
    <row r="9" spans="1:15" x14ac:dyDescent="0.45">
      <c r="A9" t="s">
        <v>24</v>
      </c>
      <c r="B9">
        <v>12085.66</v>
      </c>
      <c r="C9" s="7">
        <v>1433.94713209678</v>
      </c>
      <c r="D9">
        <v>14997.04</v>
      </c>
      <c r="E9">
        <f t="shared" si="1"/>
        <v>1199.7632000000001</v>
      </c>
      <c r="F9">
        <v>36259.300000000003</v>
      </c>
      <c r="G9" s="7">
        <f t="shared" si="2"/>
        <v>234.18393209677993</v>
      </c>
      <c r="H9" s="7">
        <f t="shared" si="3"/>
        <v>3386.9690679032201</v>
      </c>
      <c r="I9" s="7">
        <f t="shared" si="4"/>
        <v>30.222047150637724</v>
      </c>
      <c r="J9" s="7">
        <f t="shared" si="0"/>
        <v>10.705530305432386</v>
      </c>
      <c r="K9" s="7">
        <v>5978.491</v>
      </c>
      <c r="L9" s="7">
        <f t="shared" si="5"/>
        <v>897.28899999999976</v>
      </c>
      <c r="M9">
        <v>5466</v>
      </c>
      <c r="N9">
        <v>13.64</v>
      </c>
      <c r="O9" s="7">
        <f>(('Load Shift'!M9+N9)/'Load Shift'!L9)</f>
        <v>2.0767681545338301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A0499-F327-4BF2-B39E-58C45DC22A0B}">
  <dimension ref="A1:O9"/>
  <sheetViews>
    <sheetView workbookViewId="0">
      <selection activeCell="H1" sqref="H1"/>
    </sheetView>
  </sheetViews>
  <sheetFormatPr defaultRowHeight="14.25" x14ac:dyDescent="0.45"/>
  <cols>
    <col min="6" max="6" width="10.06640625" customWidth="1"/>
  </cols>
  <sheetData>
    <row r="1" spans="1:15" ht="85.5" x14ac:dyDescent="0.4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13</v>
      </c>
      <c r="I1" s="1" t="s">
        <v>14</v>
      </c>
      <c r="J1" s="1" t="s">
        <v>12</v>
      </c>
      <c r="K1" s="1" t="s">
        <v>8</v>
      </c>
      <c r="L1" s="1" t="s">
        <v>15</v>
      </c>
      <c r="M1" s="1" t="s">
        <v>9</v>
      </c>
      <c r="N1" s="1" t="s">
        <v>17</v>
      </c>
      <c r="O1" s="1" t="s">
        <v>10</v>
      </c>
    </row>
    <row r="2" spans="1:15" x14ac:dyDescent="0.45">
      <c r="A2" t="s">
        <v>6</v>
      </c>
      <c r="B2" s="7">
        <v>14393.24</v>
      </c>
      <c r="C2" s="7">
        <f>B2*0.35</f>
        <v>5037.634</v>
      </c>
      <c r="D2" s="7">
        <v>18300.04</v>
      </c>
      <c r="E2" s="7">
        <f>D2*0.08</f>
        <v>1464.0032000000001</v>
      </c>
      <c r="F2" s="7">
        <v>0</v>
      </c>
      <c r="G2" s="10">
        <f>C2-E2</f>
        <v>3573.6307999999999</v>
      </c>
      <c r="H2" s="7">
        <f>3621.153-G2</f>
        <v>47.522199999999884</v>
      </c>
      <c r="I2" s="7">
        <f>F2/E2</f>
        <v>0</v>
      </c>
      <c r="J2" s="7">
        <f>F2/H2</f>
        <v>0</v>
      </c>
      <c r="K2" s="7">
        <v>6765.2120000000004</v>
      </c>
      <c r="L2" s="7">
        <f>6875.78-K2</f>
        <v>110.5679999999993</v>
      </c>
      <c r="M2" s="7">
        <v>0</v>
      </c>
      <c r="N2">
        <v>13.64</v>
      </c>
      <c r="O2" s="7">
        <f>(('Load Shift'!M2+N2)/'Load Shift'!L2)</f>
        <v>0.1233629983358665</v>
      </c>
    </row>
    <row r="3" spans="1:15" x14ac:dyDescent="0.45">
      <c r="A3" t="s">
        <v>18</v>
      </c>
      <c r="B3" s="7">
        <v>12955.65</v>
      </c>
      <c r="C3" s="7">
        <f t="shared" ref="C3:C9" si="0">B3*0.35</f>
        <v>4534.4775</v>
      </c>
      <c r="D3" s="7">
        <v>16735.68</v>
      </c>
      <c r="E3" s="7">
        <f t="shared" ref="E3:E9" si="1">D3*0.08</f>
        <v>1338.8543999999999</v>
      </c>
      <c r="F3" s="7">
        <v>5982.13</v>
      </c>
      <c r="G3" s="7">
        <f t="shared" ref="G3:G9" si="2">C3-E3</f>
        <v>3195.6230999999998</v>
      </c>
      <c r="H3" s="7">
        <f t="shared" ref="H3:H9" si="3">3621.153-G3</f>
        <v>425.5299</v>
      </c>
      <c r="I3" s="7">
        <f t="shared" ref="I3:I9" si="4">F3/E3</f>
        <v>4.4680960080498675</v>
      </c>
      <c r="J3" s="7">
        <f t="shared" ref="J3:J9" si="5">F3/H3</f>
        <v>14.058072064971228</v>
      </c>
      <c r="K3" s="7">
        <v>6115.0940000000001</v>
      </c>
      <c r="L3" s="7">
        <f t="shared" ref="L3:L9" si="6">6875.78-K3</f>
        <v>760.68599999999969</v>
      </c>
      <c r="M3" s="7">
        <v>546.6</v>
      </c>
      <c r="N3">
        <v>13.64</v>
      </c>
      <c r="O3" s="7">
        <f>(('Load Shift'!M3+N3)/'Load Shift'!L3)</f>
        <v>0.73649311279555585</v>
      </c>
    </row>
    <row r="4" spans="1:15" x14ac:dyDescent="0.45">
      <c r="A4" t="s">
        <v>19</v>
      </c>
      <c r="B4" s="7">
        <v>12234.4</v>
      </c>
      <c r="C4" s="7">
        <f t="shared" si="0"/>
        <v>4282.04</v>
      </c>
      <c r="D4" s="7">
        <v>15949.62</v>
      </c>
      <c r="E4" s="7">
        <f t="shared" si="1"/>
        <v>1275.9696000000001</v>
      </c>
      <c r="F4" s="7">
        <v>8000.61</v>
      </c>
      <c r="G4" s="7">
        <f t="shared" si="2"/>
        <v>3006.0703999999996</v>
      </c>
      <c r="H4" s="7">
        <f t="shared" si="3"/>
        <v>615.08260000000018</v>
      </c>
      <c r="I4" s="7">
        <f t="shared" si="4"/>
        <v>6.2702199174651172</v>
      </c>
      <c r="J4" s="7">
        <f t="shared" si="5"/>
        <v>13.007374944438352</v>
      </c>
      <c r="K4" s="7">
        <v>5793.4089999999997</v>
      </c>
      <c r="L4" s="7">
        <f t="shared" si="6"/>
        <v>1082.3710000000001</v>
      </c>
      <c r="M4" s="7">
        <v>874.56</v>
      </c>
      <c r="N4">
        <v>13.64</v>
      </c>
      <c r="O4" s="7">
        <f>(('Load Shift'!M4+N4)/'Load Shift'!L4)</f>
        <v>0.82060587358678294</v>
      </c>
    </row>
    <row r="5" spans="1:15" x14ac:dyDescent="0.45">
      <c r="A5" t="s">
        <v>20</v>
      </c>
      <c r="B5" s="7">
        <v>11374.55</v>
      </c>
      <c r="C5" s="7">
        <f t="shared" si="0"/>
        <v>3981.0924999999993</v>
      </c>
      <c r="D5" s="7">
        <v>15011.49</v>
      </c>
      <c r="E5" s="7">
        <f t="shared" si="1"/>
        <v>1200.9192</v>
      </c>
      <c r="F5" s="7">
        <v>10691.91</v>
      </c>
      <c r="G5" s="7">
        <f t="shared" si="2"/>
        <v>2780.1732999999995</v>
      </c>
      <c r="H5" s="7">
        <f t="shared" si="3"/>
        <v>840.97970000000032</v>
      </c>
      <c r="I5" s="7">
        <f t="shared" si="4"/>
        <v>8.9031052214004074</v>
      </c>
      <c r="J5" s="7">
        <f t="shared" si="5"/>
        <v>12.71363625067287</v>
      </c>
      <c r="K5" s="7">
        <v>5413.3310000000001</v>
      </c>
      <c r="L5" s="7">
        <f t="shared" si="6"/>
        <v>1462.4489999999996</v>
      </c>
      <c r="M5" s="7">
        <v>1311.84</v>
      </c>
      <c r="N5">
        <v>13.64</v>
      </c>
      <c r="O5" s="7">
        <f>(('Load Shift'!M5+N5)/'Load Shift'!L5)</f>
        <v>0.90634271690841894</v>
      </c>
    </row>
    <row r="6" spans="1:15" x14ac:dyDescent="0.45">
      <c r="A6" t="s">
        <v>21</v>
      </c>
      <c r="B6" s="7">
        <v>10841.77</v>
      </c>
      <c r="C6" s="7">
        <f t="shared" si="0"/>
        <v>3794.6194999999998</v>
      </c>
      <c r="D6" s="7">
        <v>14429.49</v>
      </c>
      <c r="E6" s="7">
        <f t="shared" si="1"/>
        <v>1154.3592000000001</v>
      </c>
      <c r="F6" s="7">
        <v>12710.39</v>
      </c>
      <c r="G6" s="7">
        <f t="shared" si="2"/>
        <v>2640.2602999999999</v>
      </c>
      <c r="H6" s="7">
        <f t="shared" si="3"/>
        <v>980.89269999999988</v>
      </c>
      <c r="I6" s="7">
        <f t="shared" si="4"/>
        <v>11.010775502114072</v>
      </c>
      <c r="J6" s="7">
        <f t="shared" si="5"/>
        <v>12.957982050432225</v>
      </c>
      <c r="K6" s="7">
        <v>5180.241</v>
      </c>
      <c r="L6" s="7">
        <f t="shared" si="6"/>
        <v>1695.5389999999998</v>
      </c>
      <c r="M6" s="7">
        <v>1639.8</v>
      </c>
      <c r="N6">
        <v>13.64</v>
      </c>
      <c r="O6" s="7">
        <f>(('Load Shift'!M6+N6)/'Load Shift'!L6)</f>
        <v>0.97517072742060207</v>
      </c>
    </row>
    <row r="7" spans="1:15" x14ac:dyDescent="0.45">
      <c r="A7" t="s">
        <v>22</v>
      </c>
      <c r="B7" s="7">
        <v>10141.18</v>
      </c>
      <c r="C7" s="7">
        <f t="shared" si="0"/>
        <v>3549.413</v>
      </c>
      <c r="D7" s="7">
        <v>13663.05</v>
      </c>
      <c r="E7" s="7">
        <f t="shared" si="1"/>
        <v>1093.0439999999999</v>
      </c>
      <c r="F7" s="7">
        <v>16074.52</v>
      </c>
      <c r="G7" s="7">
        <f t="shared" si="2"/>
        <v>2456.3690000000001</v>
      </c>
      <c r="H7" s="7">
        <f t="shared" si="3"/>
        <v>1164.7839999999997</v>
      </c>
      <c r="I7" s="7">
        <f t="shared" si="4"/>
        <v>14.706196639842497</v>
      </c>
      <c r="J7" s="7">
        <f t="shared" si="5"/>
        <v>13.800429950960869</v>
      </c>
      <c r="K7" s="7">
        <v>4879.1930000000002</v>
      </c>
      <c r="L7" s="7">
        <f t="shared" si="6"/>
        <v>1996.5869999999995</v>
      </c>
      <c r="M7" s="7">
        <v>2186.4</v>
      </c>
      <c r="N7">
        <v>13.64</v>
      </c>
      <c r="O7" s="7">
        <f>(('Load Shift'!M7+N7)/'Load Shift'!L7)</f>
        <v>1.1019003930206901</v>
      </c>
    </row>
    <row r="8" spans="1:15" x14ac:dyDescent="0.45">
      <c r="A8" t="s">
        <v>23</v>
      </c>
      <c r="B8" s="7">
        <v>9544.7099999999991</v>
      </c>
      <c r="C8" s="7">
        <f t="shared" si="0"/>
        <v>3340.6484999999993</v>
      </c>
      <c r="D8" s="7">
        <v>13008.91</v>
      </c>
      <c r="E8" s="7">
        <f t="shared" si="1"/>
        <v>1040.7128</v>
      </c>
      <c r="F8" s="7">
        <v>20111.48</v>
      </c>
      <c r="G8" s="7">
        <f t="shared" si="2"/>
        <v>2299.9356999999991</v>
      </c>
      <c r="H8" s="7">
        <f t="shared" si="3"/>
        <v>1321.2173000000007</v>
      </c>
      <c r="I8" s="7">
        <f t="shared" si="4"/>
        <v>19.324716674955855</v>
      </c>
      <c r="J8" s="7">
        <f t="shared" si="5"/>
        <v>15.221932077335037</v>
      </c>
      <c r="K8" s="7">
        <v>4634.4399999999996</v>
      </c>
      <c r="L8" s="7">
        <f t="shared" si="6"/>
        <v>2241.34</v>
      </c>
      <c r="M8" s="7">
        <v>2842.32</v>
      </c>
      <c r="N8">
        <v>13.64</v>
      </c>
      <c r="O8" s="7">
        <f>(('Load Shift'!M8+N8)/'Load Shift'!L8)</f>
        <v>1.2742198863180061</v>
      </c>
    </row>
    <row r="9" spans="1:15" x14ac:dyDescent="0.45">
      <c r="A9" t="s">
        <v>24</v>
      </c>
      <c r="B9" s="7">
        <v>8412.84</v>
      </c>
      <c r="C9" s="7">
        <f t="shared" si="0"/>
        <v>2944.4939999999997</v>
      </c>
      <c r="D9" s="7">
        <v>11756.1</v>
      </c>
      <c r="E9" s="7">
        <f t="shared" si="1"/>
        <v>940.48800000000006</v>
      </c>
      <c r="F9" s="7">
        <v>36259.300000000003</v>
      </c>
      <c r="G9" s="7">
        <f t="shared" si="2"/>
        <v>2004.0059999999996</v>
      </c>
      <c r="H9" s="7">
        <f t="shared" si="3"/>
        <v>1617.1470000000002</v>
      </c>
      <c r="I9" s="7">
        <f t="shared" si="4"/>
        <v>38.553708287612388</v>
      </c>
      <c r="J9" s="7">
        <f t="shared" si="5"/>
        <v>22.42177118097489</v>
      </c>
      <c r="K9" s="7">
        <v>4237.2380000000003</v>
      </c>
      <c r="L9" s="7">
        <f t="shared" si="6"/>
        <v>2638.5419999999995</v>
      </c>
      <c r="M9" s="7">
        <v>5466</v>
      </c>
      <c r="N9">
        <v>13.64</v>
      </c>
      <c r="O9" s="7">
        <f>(('Load Shift'!M9+N9)/'Load Shift'!L9)</f>
        <v>2.0767681545338301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Orginal</vt:lpstr>
      <vt:lpstr>Additional PV</vt:lpstr>
      <vt:lpstr>Dynamic</vt:lpstr>
      <vt:lpstr>Load Shift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Eshwar janardhan</dc:creator>
  <cp:lastModifiedBy>Eshwar janardhan</cp:lastModifiedBy>
  <dcterms:created xsi:type="dcterms:W3CDTF">2015-06-05T18:19:34Z</dcterms:created>
  <dcterms:modified xsi:type="dcterms:W3CDTF">2025-12-09T16:47:22Z</dcterms:modified>
</cp:coreProperties>
</file>